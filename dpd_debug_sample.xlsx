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25.3" customWidth="1" min="10" max="10"/>
    <col width="18" customWidth="1" min="11" max="11"/>
    <col width="20.9" customWidth="1" min="12" max="12"/>
    <col width="22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33" customWidth="1" min="19" max="19"/>
    <col width="26.4" customWidth="1" min="20" max="20"/>
    <col width="46.2" customWidth="1" min="21" max="21"/>
    <col width="40.7" customWidth="1" min="22" max="22"/>
    <col width="39.6" customWidth="1" min="23" max="23"/>
    <col width="18" customWidth="1" min="24" max="24"/>
    <col width="36.3" customWidth="1" min="25" max="25"/>
    <col width="27.5" customWidth="1" min="26" max="26"/>
    <col width="18" customWidth="1" min="27" max="27"/>
    <col width="28.6" customWidth="1" min="28" max="28"/>
    <col width="18" customWidth="1" min="29" max="29"/>
  </cols>
  <sheetData>
    <row r="1">
      <c r="A1" s="1" t="inlineStr">
        <is>
          <t>Status</t>
        </is>
      </c>
      <c r="B1" s="1" t="inlineStr">
        <is>
          <t>DIN URL</t>
        </is>
      </c>
      <c r="C1" s="1" t="inlineStr">
        <is>
          <t>DIN</t>
        </is>
      </c>
      <c r="D1" s="1" t="inlineStr">
        <is>
          <t>Company</t>
        </is>
      </c>
      <c r="E1" s="1" t="inlineStr">
        <is>
          <t>Product</t>
        </is>
      </c>
      <c r="F1" s="1" t="inlineStr">
        <is>
          <t>Class</t>
        </is>
      </c>
      <c r="G1" s="1" t="inlineStr">
        <is>
          <t>PM See footnote1</t>
        </is>
      </c>
      <c r="H1" s="1" t="inlineStr">
        <is>
          <t>Schedule</t>
        </is>
      </c>
      <c r="I1" s="1" t="inlineStr">
        <is>
          <t># See footnote2</t>
        </is>
      </c>
      <c r="J1" s="1" t="inlineStr">
        <is>
          <t>A.I. name See footnote3</t>
        </is>
      </c>
      <c r="K1" s="1" t="inlineStr">
        <is>
          <t>Strength</t>
        </is>
      </c>
      <c r="L1" s="1" t="inlineStr">
        <is>
          <t>Current status date</t>
        </is>
      </c>
      <c r="M1" s="1" t="inlineStr">
        <is>
          <t>Original market date</t>
        </is>
      </c>
      <c r="N1" s="1" t="inlineStr">
        <is>
          <t>Address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Country</t>
        </is>
      </c>
      <c r="R1" s="1" t="inlineStr">
        <is>
          <t>Zipcode</t>
        </is>
      </c>
      <c r="S1" s="1" t="inlineStr">
        <is>
          <t>Number of active ingredient(s)</t>
        </is>
      </c>
      <c r="T1" s="1" t="inlineStr">
        <is>
          <t>Biosimilar Biologic Drug</t>
        </is>
      </c>
      <c r="U1" s="1" t="inlineStr">
        <is>
          <t>American Hospital Formulary Service (AHFS)</t>
        </is>
      </c>
      <c r="V1" s="1" t="inlineStr">
        <is>
          <t>Anatomical Therapeutic Chemical (ATC)</t>
        </is>
      </c>
      <c r="W1" s="1" t="inlineStr">
        <is>
          <t>Active ingredient group (AIG) number</t>
        </is>
      </c>
      <c r="X1" s="1" t="inlineStr">
        <is>
          <t>Labelling</t>
        </is>
      </c>
      <c r="Y1" s="1" t="inlineStr">
        <is>
          <t>Product Monograph/Veterinary Date</t>
        </is>
      </c>
      <c r="Z1" s="1" t="inlineStr">
        <is>
          <t>List of active ingredient</t>
        </is>
      </c>
      <c r="AA1" s="1" t="inlineStr">
        <is>
          <t>Dosage form</t>
        </is>
      </c>
      <c r="AB1" s="1" t="inlineStr">
        <is>
          <t>Route(s) of administration</t>
        </is>
      </c>
      <c r="AC1" s="1" t="inlineStr">
        <is>
          <t>DIN_link_formula</t>
        </is>
      </c>
    </row>
    <row r="2">
      <c r="A2" t="inlineStr">
        <is>
          <t>Dormant</t>
        </is>
      </c>
      <c r="B2" t="inlineStr">
        <is>
          <t>https://health-products.canada.ca/dpd-bdpp/info?lang=eng&amp;code=18029</t>
        </is>
      </c>
      <c r="C2" t="inlineStr">
        <is>
          <t>02023709</t>
        </is>
      </c>
      <c r="D2" t="inlineStr">
        <is>
          <t>PHARMA STULLN INC.</t>
        </is>
      </c>
      <c r="E2" t="inlineStr">
        <is>
          <t>BALANCED SALT SOLUTION</t>
        </is>
      </c>
      <c r="F2" t="inlineStr">
        <is>
          <t>Human</t>
        </is>
      </c>
      <c r="G2" t="inlineStr">
        <is>
          <t>No</t>
        </is>
      </c>
      <c r="H2" t="inlineStr">
        <is>
          <t>Ethical</t>
        </is>
      </c>
      <c r="I2" t="inlineStr">
        <is>
          <t>6</t>
        </is>
      </c>
      <c r="J2" s="2" t="inlineStr">
        <is>
          <t>CALCIUM CHLORIDE</t>
        </is>
      </c>
      <c r="K2" s="2" t="inlineStr">
        <is>
          <t>0.48 MG / ML</t>
        </is>
      </c>
      <c r="L2" t="inlineStr">
        <is>
          <t>2019-09-30</t>
        </is>
      </c>
      <c r="M2" t="inlineStr">
        <is>
          <t>1994-12-31</t>
        </is>
      </c>
      <c r="N2" s="2" t="inlineStr">
        <is>
          <t>6500 Trans Canada Highway, Suite 400</t>
        </is>
      </c>
      <c r="O2" t="inlineStr">
        <is>
          <t>Pointe-Claire</t>
        </is>
      </c>
      <c r="P2" t="inlineStr">
        <is>
          <t>Quebec</t>
        </is>
      </c>
      <c r="Q2" t="inlineStr">
        <is>
          <t>Canada</t>
        </is>
      </c>
      <c r="R2" t="inlineStr">
        <is>
          <t>H9R 0A5</t>
        </is>
      </c>
      <c r="S2" t="inlineStr">
        <is>
          <t>6</t>
        </is>
      </c>
      <c r="T2" t="inlineStr">
        <is>
          <t>No</t>
        </is>
      </c>
      <c r="U2" s="2" t="inlineStr">
        <is>
          <t>40:36.00</t>
        </is>
      </c>
      <c r="V2" s="2" t="inlineStr">
        <is>
          <t>B05CB10 COMBINATIONS</t>
        </is>
      </c>
      <c r="W2" t="inlineStr">
        <is>
          <t>0600055001</t>
        </is>
      </c>
      <c r="X2" s="2" t="inlineStr"/>
      <c r="Y2" s="2" t="inlineStr"/>
      <c r="Z2" s="2" t="inlineStr">
        <is>
          <t>CALCIUM CHLORIDE : 0.48 MG / ML
MAGNESIUM CHLORIDE : 0.3 MG / ML
POTASSIUM CHLORIDE : 0.75 MG / ML
SODIUM ACETATE : 3.9 MG / ML
SODIUM CHLORIDE : 6.4 MG / ML
SODIUM CITRATE : 1.7 MG / ML</t>
        </is>
      </c>
      <c r="AA2" t="inlineStr">
        <is>
          <t>Solution</t>
        </is>
      </c>
      <c r="AB2" t="inlineStr">
        <is>
          <t>Irrigation</t>
        </is>
      </c>
      <c r="AC2">
        <f>HYPERLINK("https://health-products.canada.ca/dpd-bdpp/info?lang=eng&amp;code=18029","02023709")</f>
        <v/>
      </c>
    </row>
    <row r="3">
      <c r="A3" t="inlineStr">
        <is>
          <t>Cancelled Post Market</t>
        </is>
      </c>
      <c r="B3" t="inlineStr">
        <is>
          <t>https://health-products.canada.ca/dpd-bdpp/info?lang=eng&amp;code=14114</t>
        </is>
      </c>
      <c r="C3" t="inlineStr">
        <is>
          <t>02008580</t>
        </is>
      </c>
      <c r="D3" t="inlineStr">
        <is>
          <t>3 WAY HERBS LTD.</t>
        </is>
      </c>
      <c r="E3" t="inlineStr">
        <is>
          <t>#17 DIURETIC TEA</t>
        </is>
      </c>
      <c r="F3" t="inlineStr">
        <is>
          <t>Human</t>
        </is>
      </c>
      <c r="G3" t="inlineStr">
        <is>
          <t>No</t>
        </is>
      </c>
      <c r="H3" t="inlineStr">
        <is>
          <t>NON-PRESCRIPTION DRUGS</t>
        </is>
      </c>
      <c r="I3" t="inlineStr">
        <is>
          <t>9</t>
        </is>
      </c>
      <c r="J3" t="inlineStr">
        <is>
          <t>FENNEL</t>
        </is>
      </c>
      <c r="K3" t="inlineStr">
        <is>
          <t>136 MG / 5 ML</t>
        </is>
      </c>
      <c r="L3" t="inlineStr">
        <is>
          <t>2001-08-03</t>
        </is>
      </c>
      <c r="M3" t="inlineStr">
        <is>
          <t>1993-12-31</t>
        </is>
      </c>
      <c r="N3" t="inlineStr">
        <is>
          <t>Castlegar</t>
        </is>
      </c>
      <c r="O3" t="inlineStr">
        <is>
          <t>British Columbia</t>
        </is>
      </c>
      <c r="P3" t="inlineStr">
        <is>
          <t>Canada</t>
        </is>
      </c>
      <c r="Q3" t="inlineStr">
        <is>
          <t>V1N 3H4</t>
        </is>
      </c>
      <c r="R3" t="inlineStr"/>
      <c r="S3" t="inlineStr">
        <is>
          <t>9</t>
        </is>
      </c>
      <c r="T3" t="inlineStr">
        <is>
          <t>No</t>
        </is>
      </c>
      <c r="U3" t="inlineStr">
        <is>
          <t>92:01.00* 
 See footnote 6</t>
        </is>
      </c>
      <c r="V3" t="inlineStr"/>
      <c r="W3" t="inlineStr">
        <is>
          <t>0924050001</t>
        </is>
      </c>
      <c r="X3" t="inlineStr"/>
      <c r="Y3" t="inlineStr"/>
      <c r="Z3" t="inlineStr">
        <is>
          <t>COUCH GRASS : 136 MG / 5 ML
FENNEL : 136 MG / 5 ML
GOOSE GRASS : 136 MG / 5 ML
JUNIPER BERRIES : 136 MG / 5 ML
PARSLEY : 136 MG / 5 ML
SHEPHERDS PURSE : 136 MG / 5 ML
TARAXACUM OFFICINALE WEBER : 136 MG / 5 ML
UVA URSI : 136 MG / 5 ML
ZEA MAYS : 136 MG / 5 ML</t>
        </is>
      </c>
      <c r="AA3" t="inlineStr">
        <is>
          <t>Tea (Herbal)</t>
        </is>
      </c>
      <c r="AB3" t="inlineStr">
        <is>
          <t>Oral</t>
        </is>
      </c>
      <c r="AC3">
        <f>HYPERLINK("https://health-products.canada.ca/dpd-bdpp/info?lang=eng&amp;code=14114","02008580")</f>
        <v/>
      </c>
    </row>
    <row r="4">
      <c r="A4" t="inlineStr">
        <is>
          <t>Cancelled Post Market</t>
        </is>
      </c>
      <c r="B4" t="inlineStr">
        <is>
          <t>https://health-products.canada.ca/dpd-bdpp/info?lang=eng&amp;code=14096</t>
        </is>
      </c>
      <c r="C4" t="inlineStr">
        <is>
          <t>01996878</t>
        </is>
      </c>
      <c r="D4" t="inlineStr">
        <is>
          <t>3 WAY HERBS LTD.</t>
        </is>
      </c>
      <c r="E4" t="inlineStr">
        <is>
          <t>#7 NERVE TEA</t>
        </is>
      </c>
      <c r="F4" t="inlineStr">
        <is>
          <t>Human</t>
        </is>
      </c>
      <c r="G4" t="inlineStr">
        <is>
          <t>No</t>
        </is>
      </c>
      <c r="H4" t="inlineStr">
        <is>
          <t>NON-PRESCRIPTION DRUGS</t>
        </is>
      </c>
      <c r="I4" t="inlineStr">
        <is>
          <t>9</t>
        </is>
      </c>
      <c r="J4" t="inlineStr">
        <is>
          <t>CHAMOMILE</t>
        </is>
      </c>
      <c r="K4" t="inlineStr">
        <is>
          <t>16 %</t>
        </is>
      </c>
      <c r="L4" t="inlineStr">
        <is>
          <t>2001-08-03</t>
        </is>
      </c>
      <c r="M4" t="inlineStr">
        <is>
          <t>1993-12-31</t>
        </is>
      </c>
      <c r="N4" t="inlineStr">
        <is>
          <t>Castlegar</t>
        </is>
      </c>
      <c r="O4" t="inlineStr">
        <is>
          <t>British Columbia</t>
        </is>
      </c>
      <c r="P4" t="inlineStr">
        <is>
          <t>Canada</t>
        </is>
      </c>
      <c r="Q4" t="inlineStr">
        <is>
          <t>V1N 3H4</t>
        </is>
      </c>
      <c r="R4" t="inlineStr"/>
      <c r="S4" t="inlineStr">
        <is>
          <t>9</t>
        </is>
      </c>
      <c r="T4" t="inlineStr">
        <is>
          <t>No</t>
        </is>
      </c>
      <c r="U4" t="inlineStr">
        <is>
          <t>92:01.00* 
 See footnote 6</t>
        </is>
      </c>
      <c r="V4" t="inlineStr"/>
      <c r="W4" t="inlineStr">
        <is>
          <t>0948751001</t>
        </is>
      </c>
      <c r="X4" t="inlineStr"/>
      <c r="Y4" t="inlineStr"/>
      <c r="Z4" t="inlineStr">
        <is>
          <t>CHAMOMILE : 16 %
HOPS : 4 %
MOTHERWORT COMMON : 10 %
MUGWORT : 8 %
PASSION FLOWER : 16 %
ROSMARINUS OFFICINALIS : 4 %
SCULLCAP : 4 %
VALERIAN : 8 %
VERBENA OFFICINALIS : 8 %</t>
        </is>
      </c>
      <c r="AA4" t="inlineStr">
        <is>
          <t>Tea (Herbal)</t>
        </is>
      </c>
      <c r="AB4" t="inlineStr">
        <is>
          <t>Oral</t>
        </is>
      </c>
      <c r="AC4">
        <f>HYPERLINK("https://health-products.canada.ca/dpd-bdpp/info?lang=eng&amp;code=14096","01996878")</f>
        <v/>
      </c>
    </row>
    <row r="5">
      <c r="A5" t="inlineStr">
        <is>
          <t>Marketed</t>
        </is>
      </c>
      <c r="B5" t="inlineStr">
        <is>
          <t>https://health-products.canada.ca/dpd-bdpp/info?lang=eng&amp;code=3132</t>
        </is>
      </c>
      <c r="C5" t="inlineStr">
        <is>
          <t>00438014</t>
        </is>
      </c>
      <c r="D5" t="inlineStr">
        <is>
          <t>BAXTER CORPORATION</t>
        </is>
      </c>
      <c r="E5" t="inlineStr">
        <is>
          <t>(20 MMOL/L) POTASSIUM CHLORIDE IN 3.3% DEXTROSE AND 0.3% SODIUM CHLORIDE INJECTION USP</t>
        </is>
      </c>
      <c r="F5" t="inlineStr">
        <is>
          <t>Human</t>
        </is>
      </c>
      <c r="G5" t="inlineStr">
        <is>
          <t>Yes</t>
        </is>
      </c>
      <c r="H5" t="inlineStr">
        <is>
          <t>Ethical</t>
        </is>
      </c>
      <c r="I5" t="inlineStr">
        <is>
          <t>3</t>
        </is>
      </c>
      <c r="J5" t="inlineStr">
        <is>
          <t>DEXTROSE</t>
        </is>
      </c>
      <c r="K5" t="inlineStr">
        <is>
          <t>3.3 G / 100 ML</t>
        </is>
      </c>
      <c r="L5" t="inlineStr">
        <is>
          <t>2013-01-21</t>
        </is>
      </c>
      <c r="M5" t="inlineStr">
        <is>
          <t>1978-12-31</t>
        </is>
      </c>
      <c r="N5" t="inlineStr">
        <is>
          <t>7125 Mississauga Road</t>
        </is>
      </c>
      <c r="O5" t="inlineStr">
        <is>
          <t>Mississauga</t>
        </is>
      </c>
      <c r="P5" t="inlineStr">
        <is>
          <t>Ontario</t>
        </is>
      </c>
      <c r="Q5" t="inlineStr">
        <is>
          <t>Canada</t>
        </is>
      </c>
      <c r="R5" t="inlineStr">
        <is>
          <t>L5N 0C2</t>
        </is>
      </c>
      <c r="S5" t="inlineStr">
        <is>
          <t>3</t>
        </is>
      </c>
      <c r="T5" t="inlineStr">
        <is>
          <t>No</t>
        </is>
      </c>
      <c r="U5" t="inlineStr">
        <is>
          <t>40:12.00 
 , 
 40:20.00</t>
        </is>
      </c>
      <c r="V5" t="inlineStr">
        <is>
          <t>B05BB02 ELECTROLYTES WITH CARBOHYDRATES</t>
        </is>
      </c>
      <c r="W5" t="inlineStr">
        <is>
          <t>0300097026</t>
        </is>
      </c>
      <c r="X5" t="inlineStr">
        <is>
          <t>https://pdf.hres.ca/dpd_pm/00034399.PDF</t>
        </is>
      </c>
      <c r="Y5" t="inlineStr">
        <is>
          <t>2016-04-07</t>
        </is>
      </c>
      <c r="Z5" t="inlineStr">
        <is>
          <t>DEXTROSE : 3.3 G / 100 ML
POTASSIUM CHLORIDE : 150 MG / 100 ML
SODIUM CHLORIDE : 300 MG / 100 ML</t>
        </is>
      </c>
      <c r="AA5" t="inlineStr">
        <is>
          <t>Solution</t>
        </is>
      </c>
      <c r="AB5" t="inlineStr">
        <is>
          <t>Intravenous</t>
        </is>
      </c>
      <c r="AC5">
        <f>HYPERLINK("https://health-products.canada.ca/dpd-bdpp/info?lang=eng&amp;code=3132","00438014")</f>
        <v/>
      </c>
    </row>
    <row r="6">
      <c r="A6" t="inlineStr">
        <is>
          <t>Marketed</t>
        </is>
      </c>
      <c r="B6" t="inlineStr">
        <is>
          <t>https://health-products.canada.ca/dpd-bdpp/info?lang=eng&amp;code=10866</t>
        </is>
      </c>
      <c r="C6" t="inlineStr">
        <is>
          <t>00786292</t>
        </is>
      </c>
      <c r="D6" t="inlineStr">
        <is>
          <t>BAXTER CORPORATION</t>
        </is>
      </c>
      <c r="E6" t="inlineStr">
        <is>
          <t>(20 MMOL/L) POTASSIUM CHLORIDE IN 5% DEXTROSE AND 0.9% SODIUM CHLORIDE INJECTION USP</t>
        </is>
      </c>
      <c r="F6" t="inlineStr">
        <is>
          <t>Human</t>
        </is>
      </c>
      <c r="G6" t="inlineStr">
        <is>
          <t>Yes</t>
        </is>
      </c>
      <c r="H6" t="inlineStr">
        <is>
          <t>Ethical</t>
        </is>
      </c>
      <c r="I6" t="inlineStr">
        <is>
          <t>3</t>
        </is>
      </c>
      <c r="J6" t="inlineStr">
        <is>
          <t>DEXTROSE</t>
        </is>
      </c>
      <c r="K6" t="inlineStr">
        <is>
          <t>5 G / 100 ML</t>
        </is>
      </c>
      <c r="L6" t="inlineStr">
        <is>
          <t>2013-01-21</t>
        </is>
      </c>
      <c r="M6" t="inlineStr">
        <is>
          <t>1990-12-31</t>
        </is>
      </c>
      <c r="N6" t="inlineStr">
        <is>
          <t>7125 Mississauga Road</t>
        </is>
      </c>
      <c r="O6" t="inlineStr">
        <is>
          <t>Mississauga</t>
        </is>
      </c>
      <c r="P6" t="inlineStr">
        <is>
          <t>Ontario</t>
        </is>
      </c>
      <c r="Q6" t="inlineStr">
        <is>
          <t>Canada</t>
        </is>
      </c>
      <c r="R6" t="inlineStr">
        <is>
          <t>L5N 0C2</t>
        </is>
      </c>
      <c r="S6" t="inlineStr">
        <is>
          <t>3</t>
        </is>
      </c>
      <c r="T6" t="inlineStr">
        <is>
          <t>No</t>
        </is>
      </c>
      <c r="U6" t="inlineStr">
        <is>
          <t>40:20.00 
 , 
 40:12.00</t>
        </is>
      </c>
      <c r="V6" t="inlineStr">
        <is>
          <t>B05BB02 ELECTROLYTES WITH CARBOHYDRATES</t>
        </is>
      </c>
      <c r="W6" t="inlineStr">
        <is>
          <t>0300097006</t>
        </is>
      </c>
      <c r="X6" t="inlineStr">
        <is>
          <t>https://pdf.hres.ca/dpd_pm/00034399.PDF</t>
        </is>
      </c>
      <c r="Y6" t="inlineStr">
        <is>
          <t>2016-04-07</t>
        </is>
      </c>
      <c r="Z6" t="inlineStr">
        <is>
          <t>DEXTROSE : 5 G / 100 ML
POTASSIUM CHLORIDE : 150 MG / 100 ML
SODIUM CHLORIDE : 900 MG / 100 ML</t>
        </is>
      </c>
      <c r="AA6" t="inlineStr">
        <is>
          <t>Solution</t>
        </is>
      </c>
      <c r="AB6" t="inlineStr">
        <is>
          <t>Intravenous</t>
        </is>
      </c>
      <c r="AC6">
        <f>HYPERLINK("https://health-products.canada.ca/dpd-bdpp/info?lang=eng&amp;code=10866","00786292")</f>
        <v/>
      </c>
    </row>
    <row r="7">
      <c r="A7" t="inlineStr">
        <is>
          <t>Marketed</t>
        </is>
      </c>
      <c r="B7" t="inlineStr">
        <is>
          <t>https://health-products.canada.ca/dpd-bdpp/info?lang=eng&amp;code=10041</t>
        </is>
      </c>
      <c r="C7" t="inlineStr">
        <is>
          <t>00438049</t>
        </is>
      </c>
      <c r="D7" t="inlineStr">
        <is>
          <t>BAXTER CORPORATION</t>
        </is>
      </c>
      <c r="E7" t="inlineStr">
        <is>
          <t>(20 MMOL/L) POTASSIUM CHLORIDE IN 5% DEXTROSE INJECTION USP</t>
        </is>
      </c>
      <c r="F7" t="inlineStr">
        <is>
          <t>Human</t>
        </is>
      </c>
      <c r="G7" t="inlineStr">
        <is>
          <t>Yes</t>
        </is>
      </c>
      <c r="H7" t="inlineStr">
        <is>
          <t>Ethical</t>
        </is>
      </c>
      <c r="I7" t="inlineStr">
        <is>
          <t>2</t>
        </is>
      </c>
      <c r="J7" t="inlineStr">
        <is>
          <t>DEXTROSE</t>
        </is>
      </c>
      <c r="K7" t="inlineStr">
        <is>
          <t>5 G / 100 ML</t>
        </is>
      </c>
      <c r="L7" t="inlineStr">
        <is>
          <t>2013-01-21</t>
        </is>
      </c>
      <c r="M7" t="inlineStr">
        <is>
          <t>1989-12-31</t>
        </is>
      </c>
      <c r="N7" t="inlineStr">
        <is>
          <t>7125 Mississauga Road</t>
        </is>
      </c>
      <c r="O7" t="inlineStr">
        <is>
          <t>Mississauga</t>
        </is>
      </c>
      <c r="P7" t="inlineStr">
        <is>
          <t>Ontario</t>
        </is>
      </c>
      <c r="Q7" t="inlineStr">
        <is>
          <t>Canada</t>
        </is>
      </c>
      <c r="R7" t="inlineStr">
        <is>
          <t>L5N 0C2</t>
        </is>
      </c>
      <c r="S7" t="inlineStr">
        <is>
          <t>2</t>
        </is>
      </c>
      <c r="T7" t="inlineStr">
        <is>
          <t>No</t>
        </is>
      </c>
      <c r="U7" t="inlineStr">
        <is>
          <t>40:12.00 
 , 
 40:20.00</t>
        </is>
      </c>
      <c r="V7" t="inlineStr">
        <is>
          <t>B05BB02 ELECTROLYTES WITH CARBOHYDRATES</t>
        </is>
      </c>
      <c r="W7" t="inlineStr">
        <is>
          <t>0200305001</t>
        </is>
      </c>
      <c r="X7" t="inlineStr">
        <is>
          <t>https://pdf.hres.ca/dpd_pm/00061808.PDF</t>
        </is>
      </c>
      <c r="Y7" t="inlineStr">
        <is>
          <t>2021-03-11</t>
        </is>
      </c>
      <c r="Z7" t="inlineStr">
        <is>
          <t>DEXTROSE : 5 G / 100 ML
POTASSIUM CHLORIDE : 150 MG / 100 ML</t>
        </is>
      </c>
      <c r="AA7" t="inlineStr">
        <is>
          <t>Solution</t>
        </is>
      </c>
      <c r="AB7" t="inlineStr">
        <is>
          <t>Intravenous</t>
        </is>
      </c>
      <c r="AC7">
        <f>HYPERLINK("https://health-products.canada.ca/dpd-bdpp/info?lang=eng&amp;code=10041","00438049")</f>
        <v/>
      </c>
    </row>
    <row r="8">
      <c r="A8" t="inlineStr">
        <is>
          <t>Marketed</t>
        </is>
      </c>
      <c r="B8" t="inlineStr">
        <is>
          <t>https://health-products.canada.ca/dpd-bdpp/info?lang=eng&amp;code=9826</t>
        </is>
      </c>
      <c r="C8" t="inlineStr">
        <is>
          <t>00786209</t>
        </is>
      </c>
      <c r="D8" t="inlineStr">
        <is>
          <t>BAXTER CORPORATION</t>
        </is>
      </c>
      <c r="E8" t="inlineStr">
        <is>
          <t>(20MMOL/L) POTASSIUM CHLORIDE IN 0.9% SODIUM CHLORIDE INJECTION USP</t>
        </is>
      </c>
      <c r="F8" t="inlineStr">
        <is>
          <t>Human</t>
        </is>
      </c>
      <c r="G8" t="inlineStr">
        <is>
          <t>Yes</t>
        </is>
      </c>
      <c r="H8" t="inlineStr">
        <is>
          <t>Ethical</t>
        </is>
      </c>
      <c r="I8" t="inlineStr">
        <is>
          <t>2</t>
        </is>
      </c>
      <c r="J8" t="inlineStr">
        <is>
          <t>SODIUM CHLORIDE</t>
        </is>
      </c>
      <c r="K8" t="inlineStr">
        <is>
          <t>900 MG / 100 ML</t>
        </is>
      </c>
      <c r="L8" t="inlineStr">
        <is>
          <t>2013-01-29</t>
        </is>
      </c>
      <c r="M8" t="inlineStr">
        <is>
          <t>1989-12-31</t>
        </is>
      </c>
      <c r="N8" t="inlineStr">
        <is>
          <t>7125 Mississauga Road</t>
        </is>
      </c>
      <c r="O8" t="inlineStr">
        <is>
          <t>Mississauga</t>
        </is>
      </c>
      <c r="P8" t="inlineStr">
        <is>
          <t>Ontario</t>
        </is>
      </c>
      <c r="Q8" t="inlineStr">
        <is>
          <t>Canada</t>
        </is>
      </c>
      <c r="R8" t="inlineStr">
        <is>
          <t>L5N 0C2</t>
        </is>
      </c>
      <c r="S8" t="inlineStr">
        <is>
          <t>2</t>
        </is>
      </c>
      <c r="T8" t="inlineStr">
        <is>
          <t>No</t>
        </is>
      </c>
      <c r="U8" t="inlineStr">
        <is>
          <t>40:12.00</t>
        </is>
      </c>
      <c r="V8" t="inlineStr">
        <is>
          <t>B05BB01 ELECTROLYTES</t>
        </is>
      </c>
      <c r="W8" t="inlineStr">
        <is>
          <t>0213340001</t>
        </is>
      </c>
      <c r="X8" t="inlineStr">
        <is>
          <t>https://pdf.hres.ca/dpd_pm/00049126.PDF</t>
        </is>
      </c>
      <c r="Y8" t="inlineStr">
        <is>
          <t>2018-12-10</t>
        </is>
      </c>
      <c r="Z8" t="inlineStr">
        <is>
          <t>POTASSIUM CHLORIDE : 150 MG / 100 ML
SODIUM CHLORIDE : 900 MG / 100 ML</t>
        </is>
      </c>
      <c r="AA8" t="inlineStr">
        <is>
          <t>Solution</t>
        </is>
      </c>
      <c r="AB8" t="inlineStr">
        <is>
          <t>Intravenous</t>
        </is>
      </c>
      <c r="AC8">
        <f>HYPERLINK("https://health-products.canada.ca/dpd-bdpp/info?lang=eng&amp;code=9826","00786209")</f>
        <v/>
      </c>
    </row>
    <row r="9">
      <c r="A9" t="inlineStr">
        <is>
          <t>Cancelled Post Market</t>
        </is>
      </c>
      <c r="B9" t="inlineStr">
        <is>
          <t>https://health-products.canada.ca/dpd-bdpp/info?lang=eng&amp;code=10043</t>
        </is>
      </c>
      <c r="C9" t="inlineStr">
        <is>
          <t>00503142</t>
        </is>
      </c>
      <c r="D9" t="inlineStr">
        <is>
          <t>BAXTER CORPORATION</t>
        </is>
      </c>
      <c r="E9" t="inlineStr">
        <is>
          <t>(20MMOL/L) POTASSIUM CHLORIDE IN 5% DEXTROSE AND 0.2% SODIUM CHLORIDE INJECTION USP</t>
        </is>
      </c>
      <c r="F9" t="inlineStr">
        <is>
          <t>Human</t>
        </is>
      </c>
      <c r="G9" t="inlineStr">
        <is>
          <t>Yes</t>
        </is>
      </c>
      <c r="H9" t="inlineStr">
        <is>
          <t>Ethical</t>
        </is>
      </c>
      <c r="I9" t="inlineStr">
        <is>
          <t>3</t>
        </is>
      </c>
      <c r="J9" t="inlineStr">
        <is>
          <t>DEXTROSE</t>
        </is>
      </c>
      <c r="K9" t="inlineStr">
        <is>
          <t>5 G / 100 ML</t>
        </is>
      </c>
      <c r="L9" t="inlineStr">
        <is>
          <t>2016-07-15</t>
        </is>
      </c>
      <c r="M9" t="inlineStr">
        <is>
          <t>1989-12-31</t>
        </is>
      </c>
      <c r="N9" t="inlineStr">
        <is>
          <t>7125 Mississauga Road</t>
        </is>
      </c>
      <c r="O9" t="inlineStr">
        <is>
          <t>Mississauga</t>
        </is>
      </c>
      <c r="P9" t="inlineStr">
        <is>
          <t>Ontario</t>
        </is>
      </c>
      <c r="Q9" t="inlineStr">
        <is>
          <t>Canada</t>
        </is>
      </c>
      <c r="R9" t="inlineStr">
        <is>
          <t>L5N 0C2</t>
        </is>
      </c>
      <c r="S9" t="inlineStr">
        <is>
          <t>3</t>
        </is>
      </c>
      <c r="T9" t="inlineStr">
        <is>
          <t>No</t>
        </is>
      </c>
      <c r="U9" t="inlineStr">
        <is>
          <t>40:12.00</t>
        </is>
      </c>
      <c r="V9" t="inlineStr">
        <is>
          <t>B05BB02 ELECTROLYTES WITH CARBOHYDRATES</t>
        </is>
      </c>
      <c r="W9" t="inlineStr">
        <is>
          <t>0300097004</t>
        </is>
      </c>
      <c r="X9" t="inlineStr">
        <is>
          <t>https://pdf.hres.ca/dpd_pm/00034399.PDF</t>
        </is>
      </c>
      <c r="Y9" t="inlineStr">
        <is>
          <t>2016-04-07</t>
        </is>
      </c>
      <c r="Z9" t="inlineStr">
        <is>
          <t>DEXTROSE : 5 G / 100 ML
POTASSIUM CHLORIDE : 150 MG / 100 ML
SODIUM CHLORIDE : 200 MG / 100 ML</t>
        </is>
      </c>
      <c r="AA9" t="inlineStr">
        <is>
          <t>Solution</t>
        </is>
      </c>
      <c r="AB9" t="inlineStr">
        <is>
          <t>Intravenous</t>
        </is>
      </c>
      <c r="AC9">
        <f>HYPERLINK("https://health-products.canada.ca/dpd-bdpp/info?lang=eng&amp;code=10043","00503142")</f>
        <v/>
      </c>
    </row>
    <row r="10">
      <c r="A10" t="inlineStr">
        <is>
          <t>Marketed</t>
        </is>
      </c>
      <c r="B10" t="inlineStr">
        <is>
          <t>https://health-products.canada.ca/dpd-bdpp/info?lang=eng&amp;code=10044</t>
        </is>
      </c>
      <c r="C10" t="inlineStr">
        <is>
          <t>00437999</t>
        </is>
      </c>
      <c r="D10" t="inlineStr">
        <is>
          <t>BAXTER CORPORATION</t>
        </is>
      </c>
      <c r="E10" t="inlineStr">
        <is>
          <t>(20MMOL/L) POTASSIUM CHLORIDE IN 5% DEXTROSE AND 0.45% SODIUM CHLORIDE INJECTION USP</t>
        </is>
      </c>
      <c r="F10" t="inlineStr">
        <is>
          <t>Human</t>
        </is>
      </c>
      <c r="G10" t="inlineStr">
        <is>
          <t>Yes</t>
        </is>
      </c>
      <c r="H10" t="inlineStr">
        <is>
          <t>Ethical</t>
        </is>
      </c>
      <c r="I10" t="inlineStr">
        <is>
          <t>3</t>
        </is>
      </c>
      <c r="J10" t="inlineStr">
        <is>
          <t>DEXTROSE</t>
        </is>
      </c>
      <c r="K10" t="inlineStr">
        <is>
          <t>5 G / 100 ML</t>
        </is>
      </c>
      <c r="L10" t="inlineStr">
        <is>
          <t>2013-01-21</t>
        </is>
      </c>
      <c r="M10" t="inlineStr">
        <is>
          <t>1989-12-31</t>
        </is>
      </c>
      <c r="N10" t="inlineStr">
        <is>
          <t>7125 Mississauga Road</t>
        </is>
      </c>
      <c r="O10" t="inlineStr">
        <is>
          <t>Mississauga</t>
        </is>
      </c>
      <c r="P10" t="inlineStr">
        <is>
          <t>Ontario</t>
        </is>
      </c>
      <c r="Q10" t="inlineStr">
        <is>
          <t>Canada</t>
        </is>
      </c>
      <c r="R10" t="inlineStr">
        <is>
          <t>L5N 0C2</t>
        </is>
      </c>
      <c r="S10" t="inlineStr">
        <is>
          <t>3</t>
        </is>
      </c>
      <c r="T10" t="inlineStr">
        <is>
          <t>No</t>
        </is>
      </c>
      <c r="U10" t="inlineStr">
        <is>
          <t>40:20.00 
 , 
 40:12.00</t>
        </is>
      </c>
      <c r="V10" t="inlineStr">
        <is>
          <t>B05BB02 ELECTROLYTES WITH CARBOHYDRATES</t>
        </is>
      </c>
      <c r="W10" t="inlineStr">
        <is>
          <t>0300097005</t>
        </is>
      </c>
      <c r="X10" t="inlineStr">
        <is>
          <t>https://pdf.hres.ca/dpd_pm/00034399.PDF</t>
        </is>
      </c>
      <c r="Y10" t="inlineStr">
        <is>
          <t>2016-04-07</t>
        </is>
      </c>
      <c r="Z10" t="inlineStr">
        <is>
          <t>DEXTROSE : 5 G / 100 ML
POTASSIUM CHLORIDE : 150 MG / 100 ML
SODIUM CHLORIDE : 450 MG / 100 ML</t>
        </is>
      </c>
      <c r="AA10" t="inlineStr">
        <is>
          <t>Solution</t>
        </is>
      </c>
      <c r="AB10" t="inlineStr">
        <is>
          <t>Intravenous</t>
        </is>
      </c>
      <c r="AC10">
        <f>HYPERLINK("https://health-products.canada.ca/dpd-bdpp/info?lang=eng&amp;code=10044","00437999")</f>
        <v/>
      </c>
    </row>
    <row r="11">
      <c r="A11" t="inlineStr">
        <is>
          <t>Marketed</t>
        </is>
      </c>
      <c r="B11" t="inlineStr">
        <is>
          <t>https://health-products.canada.ca/dpd-bdpp/info?lang=eng&amp;code=9827</t>
        </is>
      </c>
      <c r="C11" t="inlineStr">
        <is>
          <t>00786217</t>
        </is>
      </c>
      <c r="D11" t="inlineStr">
        <is>
          <t>BAXTER CORPORATION</t>
        </is>
      </c>
      <c r="E11" t="inlineStr">
        <is>
          <t>(40 MMOL/L) POTASSIUM CHLORIDE IN 0.9% SODIUM CHLORIDE INJECTION USP</t>
        </is>
      </c>
      <c r="F11" t="inlineStr">
        <is>
          <t>Human</t>
        </is>
      </c>
      <c r="G11" t="inlineStr">
        <is>
          <t>Yes</t>
        </is>
      </c>
      <c r="H11" t="inlineStr">
        <is>
          <t>Ethical</t>
        </is>
      </c>
      <c r="I11" t="inlineStr">
        <is>
          <t>2</t>
        </is>
      </c>
      <c r="J11" t="inlineStr">
        <is>
          <t>SODIUM CHLORIDE</t>
        </is>
      </c>
      <c r="K11" t="inlineStr">
        <is>
          <t>900 MG / 100 ML</t>
        </is>
      </c>
      <c r="L11" t="inlineStr">
        <is>
          <t>2013-01-21</t>
        </is>
      </c>
      <c r="M11" t="inlineStr">
        <is>
          <t>1989-12-31</t>
        </is>
      </c>
      <c r="N11" t="inlineStr">
        <is>
          <t>7125 Mississauga Road</t>
        </is>
      </c>
      <c r="O11" t="inlineStr">
        <is>
          <t>Mississauga</t>
        </is>
      </c>
      <c r="P11" t="inlineStr">
        <is>
          <t>Ontario</t>
        </is>
      </c>
      <c r="Q11" t="inlineStr">
        <is>
          <t>Canada</t>
        </is>
      </c>
      <c r="R11" t="inlineStr">
        <is>
          <t>L5N 0C2</t>
        </is>
      </c>
      <c r="S11" t="inlineStr">
        <is>
          <t>2</t>
        </is>
      </c>
      <c r="T11" t="inlineStr">
        <is>
          <t>No</t>
        </is>
      </c>
      <c r="U11" t="inlineStr">
        <is>
          <t>40:12.00</t>
        </is>
      </c>
      <c r="V11" t="inlineStr">
        <is>
          <t>B05BB01 ELECTROLYTES</t>
        </is>
      </c>
      <c r="W11" t="inlineStr">
        <is>
          <t>0213340002</t>
        </is>
      </c>
      <c r="X11" t="inlineStr">
        <is>
          <t>https://pdf.hres.ca/dpd_pm/00049126.PDF</t>
        </is>
      </c>
      <c r="Y11" t="inlineStr">
        <is>
          <t>2018-12-10</t>
        </is>
      </c>
      <c r="Z11" t="inlineStr">
        <is>
          <t>POTASSIUM CHLORIDE : 300 MG / 100 ML
SODIUM CHLORIDE : 900 MG / 100 ML</t>
        </is>
      </c>
      <c r="AA11" t="inlineStr">
        <is>
          <t>Liquid</t>
        </is>
      </c>
      <c r="AB11" t="inlineStr">
        <is>
          <t>Intravenous</t>
        </is>
      </c>
      <c r="AC11">
        <f>HYPERLINK("https://health-products.canada.ca/dpd-bdpp/info?lang=eng&amp;code=9827","00786217")</f>
        <v/>
      </c>
    </row>
    <row r="12">
      <c r="A12" t="inlineStr">
        <is>
          <t>Marketed</t>
        </is>
      </c>
      <c r="B12" t="inlineStr">
        <is>
          <t>https://health-products.canada.ca/dpd-bdpp/info?lang=eng&amp;code=10042</t>
        </is>
      </c>
      <c r="C12" t="inlineStr">
        <is>
          <t>00438030</t>
        </is>
      </c>
      <c r="D12" t="inlineStr">
        <is>
          <t>BAXTER CORPORATION</t>
        </is>
      </c>
      <c r="E12" t="inlineStr">
        <is>
          <t>(40 MMOL/L) POTASSIUM CHLORIDE IN 5% DEXTROSE INJECTION USP</t>
        </is>
      </c>
      <c r="F12" t="inlineStr">
        <is>
          <t>Human</t>
        </is>
      </c>
      <c r="G12" t="inlineStr">
        <is>
          <t>Yes</t>
        </is>
      </c>
      <c r="H12" t="inlineStr">
        <is>
          <t>Ethical</t>
        </is>
      </c>
      <c r="I12" t="inlineStr">
        <is>
          <t>2</t>
        </is>
      </c>
      <c r="J12" t="inlineStr">
        <is>
          <t>DEXTROSE</t>
        </is>
      </c>
      <c r="K12" t="inlineStr">
        <is>
          <t>5 G / 100 ML</t>
        </is>
      </c>
      <c r="L12" t="inlineStr">
        <is>
          <t>2013-01-21</t>
        </is>
      </c>
      <c r="M12" t="inlineStr">
        <is>
          <t>1989-12-31</t>
        </is>
      </c>
      <c r="N12" t="inlineStr">
        <is>
          <t>7125 Mississauga Road</t>
        </is>
      </c>
      <c r="O12" t="inlineStr">
        <is>
          <t>Mississauga</t>
        </is>
      </c>
      <c r="P12" t="inlineStr">
        <is>
          <t>Ontario</t>
        </is>
      </c>
      <c r="Q12" t="inlineStr">
        <is>
          <t>Canada</t>
        </is>
      </c>
      <c r="R12" t="inlineStr">
        <is>
          <t>L5N 0C2</t>
        </is>
      </c>
      <c r="S12" t="inlineStr">
        <is>
          <t>2</t>
        </is>
      </c>
      <c r="T12" t="inlineStr">
        <is>
          <t>No</t>
        </is>
      </c>
      <c r="U12" t="inlineStr">
        <is>
          <t>40:12.00 
 , 
 40:20.00</t>
        </is>
      </c>
      <c r="V12" t="inlineStr">
        <is>
          <t>B05BB02 ELECTROLYTES WITH CARBOHYDRATES</t>
        </is>
      </c>
      <c r="W12" t="inlineStr">
        <is>
          <t>0200305003</t>
        </is>
      </c>
      <c r="X12" t="inlineStr">
        <is>
          <t>https://pdf.hres.ca/dpd_pm/00061808.PDF</t>
        </is>
      </c>
      <c r="Y12" t="inlineStr">
        <is>
          <t>2021-03-11</t>
        </is>
      </c>
      <c r="Z12" t="inlineStr">
        <is>
          <t>DEXTROSE : 5 G / 100 ML
POTASSIUM CHLORIDE : 300 MG / 100 ML</t>
        </is>
      </c>
      <c r="AA12" t="inlineStr">
        <is>
          <t>Solution</t>
        </is>
      </c>
      <c r="AB12" t="inlineStr">
        <is>
          <t>Intravenous</t>
        </is>
      </c>
      <c r="AC12">
        <f>HYPERLINK("https://health-products.canada.ca/dpd-bdpp/info?lang=eng&amp;code=10042","00438030")</f>
        <v/>
      </c>
    </row>
    <row r="13">
      <c r="A13" t="inlineStr">
        <is>
          <t>Cancelled Post Market</t>
        </is>
      </c>
      <c r="B13" t="inlineStr">
        <is>
          <t>https://health-products.canada.ca/dpd-bdpp/info?lang=eng&amp;code=70277</t>
        </is>
      </c>
      <c r="C13" t="inlineStr">
        <is>
          <t>02246134</t>
        </is>
      </c>
      <c r="D13" t="inlineStr">
        <is>
          <t>BAXTER CORPORATION</t>
        </is>
      </c>
      <c r="E13" t="inlineStr">
        <is>
          <t>(40 MMOLS/L) POTASSIUM CHLORIDE IN LACTATED RINGER'S INJECTION USP</t>
        </is>
      </c>
      <c r="F13" t="inlineStr">
        <is>
          <t>Human</t>
        </is>
      </c>
      <c r="G13" t="inlineStr">
        <is>
          <t>No</t>
        </is>
      </c>
      <c r="H13" t="inlineStr">
        <is>
          <t>Ethical</t>
        </is>
      </c>
      <c r="I13" t="inlineStr">
        <is>
          <t>4</t>
        </is>
      </c>
      <c r="J13" t="inlineStr">
        <is>
          <t>SODIUM CHLORIDE</t>
        </is>
      </c>
      <c r="K13" t="inlineStr">
        <is>
          <t>600 MG / 100 ML</t>
        </is>
      </c>
      <c r="L13" t="inlineStr">
        <is>
          <t>2016-07-15</t>
        </is>
      </c>
      <c r="M13" t="inlineStr">
        <is>
          <t>2002-12-11</t>
        </is>
      </c>
      <c r="N13" t="inlineStr">
        <is>
          <t>7125 Mississauga Road</t>
        </is>
      </c>
      <c r="O13" t="inlineStr">
        <is>
          <t>Mississauga</t>
        </is>
      </c>
      <c r="P13" t="inlineStr">
        <is>
          <t>Ontario</t>
        </is>
      </c>
      <c r="Q13" t="inlineStr">
        <is>
          <t>Canada</t>
        </is>
      </c>
      <c r="R13" t="inlineStr">
        <is>
          <t>L5N 0C2</t>
        </is>
      </c>
      <c r="S13" t="inlineStr">
        <is>
          <t>4</t>
        </is>
      </c>
      <c r="T13" t="inlineStr">
        <is>
          <t>No</t>
        </is>
      </c>
      <c r="U13" t="inlineStr">
        <is>
          <t>40:12.00</t>
        </is>
      </c>
      <c r="V13" t="inlineStr">
        <is>
          <t>B05BB01 ELECTROLYTES</t>
        </is>
      </c>
      <c r="W13" t="inlineStr">
        <is>
          <t>0400132004</t>
        </is>
      </c>
      <c r="X13" t="inlineStr"/>
      <c r="Y13" t="inlineStr"/>
      <c r="Z13" t="inlineStr">
        <is>
          <t>CALCIUM CHLORIDE : 20 MG / 100 ML
POTASSIUM CHLORIDE : 328 MG / 100 ML
SODIUM CHLORIDE : 600 MG / 100 ML
SODIUM LACTATE : 310 MG / 100 ML</t>
        </is>
      </c>
      <c r="AA13" t="inlineStr">
        <is>
          <t>Solution</t>
        </is>
      </c>
      <c r="AB13" t="inlineStr">
        <is>
          <t>Intravenous</t>
        </is>
      </c>
      <c r="AC13">
        <f>HYPERLINK("https://health-products.canada.ca/dpd-bdpp/info?lang=eng&amp;code=70277","02246134")</f>
        <v/>
      </c>
    </row>
    <row r="14">
      <c r="A14" t="inlineStr">
        <is>
          <t>Marketed</t>
        </is>
      </c>
      <c r="B14" t="inlineStr">
        <is>
          <t>https://health-products.canada.ca/dpd-bdpp/info?lang=eng&amp;code=3133</t>
        </is>
      </c>
      <c r="C14" t="inlineStr">
        <is>
          <t>00438022</t>
        </is>
      </c>
      <c r="D14" t="inlineStr">
        <is>
          <t>BAXTER CORPORATION</t>
        </is>
      </c>
      <c r="E14" t="inlineStr">
        <is>
          <t>(40MMOL/L) POTASSIUM CHLORIDE IN 3.3% DEXTROSE AND 0.3% SODIUM CHLORIDE INJECTION USP</t>
        </is>
      </c>
      <c r="F14" t="inlineStr">
        <is>
          <t>Human</t>
        </is>
      </c>
      <c r="G14" t="inlineStr">
        <is>
          <t>Yes</t>
        </is>
      </c>
      <c r="H14" t="inlineStr">
        <is>
          <t>Ethical</t>
        </is>
      </c>
      <c r="I14" t="inlineStr">
        <is>
          <t>3</t>
        </is>
      </c>
      <c r="J14" t="inlineStr">
        <is>
          <t>DEXTROSE</t>
        </is>
      </c>
      <c r="K14" t="inlineStr">
        <is>
          <t>3.3 G / 100 ML</t>
        </is>
      </c>
      <c r="L14" t="inlineStr">
        <is>
          <t>2013-01-21</t>
        </is>
      </c>
      <c r="M14" t="inlineStr">
        <is>
          <t>1978-12-31</t>
        </is>
      </c>
      <c r="N14" t="inlineStr">
        <is>
          <t>7125 Mississauga Road</t>
        </is>
      </c>
      <c r="O14" t="inlineStr">
        <is>
          <t>Mississauga</t>
        </is>
      </c>
      <c r="P14" t="inlineStr">
        <is>
          <t>Ontario</t>
        </is>
      </c>
      <c r="Q14" t="inlineStr">
        <is>
          <t>Canada</t>
        </is>
      </c>
      <c r="R14" t="inlineStr">
        <is>
          <t>L5N 0C2</t>
        </is>
      </c>
      <c r="S14" t="inlineStr">
        <is>
          <t>3</t>
        </is>
      </c>
      <c r="T14" t="inlineStr">
        <is>
          <t>No</t>
        </is>
      </c>
      <c r="U14" t="inlineStr">
        <is>
          <t>40:12.00 
 , 
 40:20.00</t>
        </is>
      </c>
      <c r="V14" t="inlineStr">
        <is>
          <t>B05BB02 ELECTROLYTES WITH CARBOHYDRATES</t>
        </is>
      </c>
      <c r="W14" t="inlineStr">
        <is>
          <t>0300097002</t>
        </is>
      </c>
      <c r="X14" t="inlineStr">
        <is>
          <t>https://pdf.hres.ca/dpd_pm/00034399.PDF</t>
        </is>
      </c>
      <c r="Y14" t="inlineStr">
        <is>
          <t>2016-04-07</t>
        </is>
      </c>
      <c r="Z14" t="inlineStr">
        <is>
          <t>DEXTROSE : 3.3 G / 100 ML
POTASSIUM CHLORIDE : 300 MG / 100 ML
SODIUM CHLORIDE : 300 MG / 100 ML</t>
        </is>
      </c>
      <c r="AA14" t="inlineStr">
        <is>
          <t>Solution</t>
        </is>
      </c>
      <c r="AB14" t="inlineStr">
        <is>
          <t>Intravenous</t>
        </is>
      </c>
      <c r="AC14">
        <f>HYPERLINK("https://health-products.canada.ca/dpd-bdpp/info?lang=eng&amp;code=3133","00438022")</f>
        <v/>
      </c>
    </row>
    <row r="15">
      <c r="A15" t="inlineStr">
        <is>
          <t>Marketed</t>
        </is>
      </c>
      <c r="B15" t="inlineStr">
        <is>
          <t>https://health-products.canada.ca/dpd-bdpp/info?lang=eng&amp;code=10045</t>
        </is>
      </c>
      <c r="C15" t="inlineStr">
        <is>
          <t>00438006</t>
        </is>
      </c>
      <c r="D15" t="inlineStr">
        <is>
          <t>BAXTER CORPORATION</t>
        </is>
      </c>
      <c r="E15" t="inlineStr">
        <is>
          <t>(40MMOL/L)POTASSIUM CHLORIDE IN 5% DEXTROSE AND 0.45% SODIUM CHLORIDE INJECTION USP</t>
        </is>
      </c>
      <c r="F15" t="inlineStr">
        <is>
          <t>Human</t>
        </is>
      </c>
      <c r="G15" t="inlineStr">
        <is>
          <t>Yes</t>
        </is>
      </c>
      <c r="H15" t="inlineStr">
        <is>
          <t>Ethical</t>
        </is>
      </c>
      <c r="I15" t="inlineStr">
        <is>
          <t>3</t>
        </is>
      </c>
      <c r="J15" t="inlineStr">
        <is>
          <t>DEXTROSE</t>
        </is>
      </c>
      <c r="K15" t="inlineStr">
        <is>
          <t>5 G / 100 ML</t>
        </is>
      </c>
      <c r="L15" t="inlineStr">
        <is>
          <t>2013-01-20</t>
        </is>
      </c>
      <c r="M15" t="inlineStr">
        <is>
          <t>1989-12-31</t>
        </is>
      </c>
      <c r="N15" t="inlineStr">
        <is>
          <t>7125 Mississauga Road</t>
        </is>
      </c>
      <c r="O15" t="inlineStr">
        <is>
          <t>Mississauga</t>
        </is>
      </c>
      <c r="P15" t="inlineStr">
        <is>
          <t>Ontario</t>
        </is>
      </c>
      <c r="Q15" t="inlineStr">
        <is>
          <t>Canada</t>
        </is>
      </c>
      <c r="R15" t="inlineStr">
        <is>
          <t>L5N 0C2</t>
        </is>
      </c>
      <c r="S15" t="inlineStr">
        <is>
          <t>3</t>
        </is>
      </c>
      <c r="T15" t="inlineStr">
        <is>
          <t>No</t>
        </is>
      </c>
      <c r="U15" t="inlineStr">
        <is>
          <t>40:12.00 
 , 
 40:20.00</t>
        </is>
      </c>
      <c r="V15" t="inlineStr">
        <is>
          <t>B05BB02 ELECTROLYTES WITH CARBOHYDRATES</t>
        </is>
      </c>
      <c r="W15" t="inlineStr">
        <is>
          <t>0300097003</t>
        </is>
      </c>
      <c r="X15" t="inlineStr">
        <is>
          <t>https://pdf.hres.ca/dpd_pm/00034399.PDF</t>
        </is>
      </c>
      <c r="Y15" t="inlineStr">
        <is>
          <t>2016-04-07</t>
        </is>
      </c>
      <c r="Z15" t="inlineStr">
        <is>
          <t>DEXTROSE : 5 G / 100 ML
POTASSIUM CHLORIDE : 300 MG / 100 ML
SODIUM CHLORIDE : 450 MG / 100 ML</t>
        </is>
      </c>
      <c r="AA15" t="inlineStr">
        <is>
          <t>Solution</t>
        </is>
      </c>
      <c r="AB15" t="inlineStr">
        <is>
          <t>Intravenous</t>
        </is>
      </c>
      <c r="AC15">
        <f>HYPERLINK("https://health-products.canada.ca/dpd-bdpp/info?lang=eng&amp;code=10045","00438006")</f>
        <v/>
      </c>
    </row>
    <row r="16">
      <c r="A16" t="inlineStr">
        <is>
          <t>Cancelled Post Market</t>
        </is>
      </c>
      <c r="B16" t="inlineStr">
        <is>
          <t>https://health-products.canada.ca/dpd-bdpp/info?lang=eng&amp;code=60161</t>
        </is>
      </c>
      <c r="C16" t="inlineStr">
        <is>
          <t>02236871</t>
        </is>
      </c>
      <c r="D16" t="inlineStr">
        <is>
          <t>STANLEY PHARMACEUTICALS, A DIVISION OF VITA HEALTH PRODUCTS INC.</t>
        </is>
      </c>
      <c r="E16" t="inlineStr">
        <is>
          <t>(EXTRA STRENGTH) ACETAMINOPHEN, CAFFEINE &amp; 8MG CODEINE PHOSPHATE CAPLETS</t>
        </is>
      </c>
      <c r="F16" t="inlineStr">
        <is>
          <t>Human</t>
        </is>
      </c>
      <c r="G16" t="inlineStr">
        <is>
          <t>No</t>
        </is>
      </c>
      <c r="H16" t="inlineStr">
        <is>
          <t>NARCOTICS (CDSA I)</t>
        </is>
      </c>
      <c r="I16" t="inlineStr">
        <is>
          <t>3</t>
        </is>
      </c>
      <c r="J16" t="inlineStr">
        <is>
          <t>ACETAMINOPHEN</t>
        </is>
      </c>
      <c r="K16" t="inlineStr">
        <is>
          <t>500 MG</t>
        </is>
      </c>
      <c r="L16" t="inlineStr">
        <is>
          <t>2002-07-31</t>
        </is>
      </c>
      <c r="M16" t="inlineStr">
        <is>
          <t>1998-07-22</t>
        </is>
      </c>
      <c r="N16" t="inlineStr">
        <is>
          <t>150 Beghin Avenue</t>
        </is>
      </c>
      <c r="O16" t="inlineStr">
        <is>
          <t>Winnipeg</t>
        </is>
      </c>
      <c r="P16" t="inlineStr">
        <is>
          <t>Manitoba</t>
        </is>
      </c>
      <c r="Q16" t="inlineStr">
        <is>
          <t>Canada</t>
        </is>
      </c>
      <c r="R16" t="inlineStr">
        <is>
          <t>R2J 3W2</t>
        </is>
      </c>
      <c r="S16" t="inlineStr">
        <is>
          <t>3</t>
        </is>
      </c>
      <c r="T16" t="inlineStr">
        <is>
          <t>No</t>
        </is>
      </c>
      <c r="U16" t="inlineStr">
        <is>
          <t>28:08.92 
 , 
 28:08.08</t>
        </is>
      </c>
      <c r="V16" t="inlineStr">
        <is>
          <t>N02AJ06 CODEINE AND PARACETAMOL</t>
        </is>
      </c>
      <c r="W16" t="inlineStr">
        <is>
          <t>0311391004</t>
        </is>
      </c>
      <c r="X16" t="inlineStr"/>
      <c r="Y16" t="inlineStr"/>
      <c r="Z16" t="inlineStr">
        <is>
          <t>ACETAMINOPHEN : 500 MG
CAFFEINE : 15 MG
CODEINE PHOSPHATE : 8 MG</t>
        </is>
      </c>
      <c r="AA16" t="inlineStr">
        <is>
          <t>Tablet</t>
        </is>
      </c>
      <c r="AB16" t="inlineStr">
        <is>
          <t>Oral</t>
        </is>
      </c>
      <c r="AC16">
        <f>HYPERLINK("https://health-products.canada.ca/dpd-bdpp/info?lang=eng&amp;code=60161","02236871")</f>
        <v/>
      </c>
    </row>
    <row r="17">
      <c r="A17" t="inlineStr">
        <is>
          <t>Cancelled Post Market</t>
        </is>
      </c>
      <c r="B17" t="inlineStr">
        <is>
          <t>https://health-products.canada.ca/dpd-bdpp/info?lang=eng&amp;code=13034</t>
        </is>
      </c>
      <c r="C17" t="inlineStr">
        <is>
          <t>01931741</t>
        </is>
      </c>
      <c r="D17" t="inlineStr">
        <is>
          <t>B. BRAUN MEDICAL INC</t>
        </is>
      </c>
      <c r="E17" t="inlineStr">
        <is>
          <t>0.15% POTASSIUM CHLORIDE IN 3.3% DEXTROSE AND 0.30% SODIUM CHLORIDE INJECTION</t>
        </is>
      </c>
      <c r="F17" t="inlineStr">
        <is>
          <t>Human</t>
        </is>
      </c>
      <c r="G17" t="inlineStr">
        <is>
          <t>No</t>
        </is>
      </c>
      <c r="H17" t="inlineStr">
        <is>
          <t>Ethical</t>
        </is>
      </c>
      <c r="I17" t="inlineStr">
        <is>
          <t>3</t>
        </is>
      </c>
      <c r="J17" t="inlineStr">
        <is>
          <t>DEXTROSE</t>
        </is>
      </c>
      <c r="K17" t="inlineStr">
        <is>
          <t>3.3 G / 100 ML</t>
        </is>
      </c>
      <c r="L17" t="inlineStr">
        <is>
          <t>2022-06-03</t>
        </is>
      </c>
      <c r="M17" t="inlineStr">
        <is>
          <t>1992-12-31</t>
        </is>
      </c>
      <c r="N17" t="inlineStr">
        <is>
          <t>824 Twelfth Avenue</t>
        </is>
      </c>
      <c r="O17" t="inlineStr">
        <is>
          <t>Bethlehem</t>
        </is>
      </c>
      <c r="P17" t="inlineStr">
        <is>
          <t>Pennsylvania</t>
        </is>
      </c>
      <c r="Q17" t="inlineStr">
        <is>
          <t>United States</t>
        </is>
      </c>
      <c r="R17" t="inlineStr">
        <is>
          <t>18018</t>
        </is>
      </c>
      <c r="S17" t="inlineStr">
        <is>
          <t>3</t>
        </is>
      </c>
      <c r="T17" t="inlineStr">
        <is>
          <t>No</t>
        </is>
      </c>
      <c r="U17" t="inlineStr">
        <is>
          <t>40:20.00 
 , 
 40:12.00</t>
        </is>
      </c>
      <c r="V17" t="inlineStr">
        <is>
          <t>B05BB02 ELECTROLYTES WITH CARBOHYDRATES</t>
        </is>
      </c>
      <c r="W17" t="inlineStr">
        <is>
          <t>0300097001</t>
        </is>
      </c>
      <c r="X17" t="inlineStr"/>
      <c r="Y17" t="inlineStr"/>
      <c r="Z17" t="inlineStr">
        <is>
          <t>DEXTROSE : 3.3 G / 100 ML
POTASSIUM CHLORIDE : 150 MG / 100 ML
SODIUM CHLORIDE : 300 MG / 100 ML</t>
        </is>
      </c>
      <c r="AA17" t="inlineStr">
        <is>
          <t>Solution</t>
        </is>
      </c>
      <c r="AB17" t="inlineStr">
        <is>
          <t>Intravenous</t>
        </is>
      </c>
      <c r="AC17">
        <f>HYPERLINK("https://health-products.canada.ca/dpd-bdpp/info?lang=eng&amp;code=13034","01931741")</f>
        <v/>
      </c>
    </row>
    <row r="18">
      <c r="A18" t="inlineStr">
        <is>
          <t>Marketed</t>
        </is>
      </c>
      <c r="B18" t="inlineStr">
        <is>
          <t>https://health-products.canada.ca/dpd-bdpp/info?lang=eng&amp;code=21753</t>
        </is>
      </c>
      <c r="C18" t="inlineStr">
        <is>
          <t>01931598</t>
        </is>
      </c>
      <c r="D18" t="inlineStr">
        <is>
          <t>B. BRAUN MEDICAL INC</t>
        </is>
      </c>
      <c r="E18" t="inlineStr">
        <is>
          <t>0.15% POTASSIUM CHLORIDE IN 5% DEXTROSE AND 0.20% SODIUM CHLORIDE INJECTION USP</t>
        </is>
      </c>
      <c r="F18" t="inlineStr">
        <is>
          <t>Human</t>
        </is>
      </c>
      <c r="G18" t="inlineStr">
        <is>
          <t>No</t>
        </is>
      </c>
      <c r="H18" t="inlineStr">
        <is>
          <t>Ethical</t>
        </is>
      </c>
      <c r="I18" t="inlineStr">
        <is>
          <t>3</t>
        </is>
      </c>
      <c r="J18" t="inlineStr">
        <is>
          <t>DEXTROSE</t>
        </is>
      </c>
      <c r="K18" t="inlineStr">
        <is>
          <t>5 G / 100 ML</t>
        </is>
      </c>
      <c r="L18" t="inlineStr">
        <is>
          <t>1998-10-01</t>
        </is>
      </c>
      <c r="M18" t="inlineStr">
        <is>
          <t>1998-09-03</t>
        </is>
      </c>
      <c r="N18" t="inlineStr">
        <is>
          <t>824 Twelfth Avenue</t>
        </is>
      </c>
      <c r="O18" t="inlineStr">
        <is>
          <t>Bethlehem</t>
        </is>
      </c>
      <c r="P18" t="inlineStr">
        <is>
          <t>Pennsylvania</t>
        </is>
      </c>
      <c r="Q18" t="inlineStr">
        <is>
          <t>United States</t>
        </is>
      </c>
      <c r="R18" t="inlineStr">
        <is>
          <t>18018</t>
        </is>
      </c>
      <c r="S18" t="inlineStr">
        <is>
          <t>3</t>
        </is>
      </c>
      <c r="T18" t="inlineStr">
        <is>
          <t>No</t>
        </is>
      </c>
      <c r="U18" t="inlineStr">
        <is>
          <t>40:12.00 
 , 
 40:20.00</t>
        </is>
      </c>
      <c r="V18" t="inlineStr">
        <is>
          <t>B05BB02 ELECTROLYTES WITH CARBOHYDRATES</t>
        </is>
      </c>
      <c r="W18" t="inlineStr">
        <is>
          <t>0300097004</t>
        </is>
      </c>
      <c r="X18" t="inlineStr"/>
      <c r="Y18" t="inlineStr"/>
      <c r="Z18" t="inlineStr">
        <is>
          <t>DEXTROSE : 5 G / 100 ML
POTASSIUM CHLORIDE : 150 MG / 100 ML
SODIUM CHLORIDE : 200 MG / 100 ML</t>
        </is>
      </c>
      <c r="AA18" t="inlineStr">
        <is>
          <t>Solution</t>
        </is>
      </c>
      <c r="AB18" t="inlineStr">
        <is>
          <t>Intravenous</t>
        </is>
      </c>
      <c r="AC18">
        <f>HYPERLINK("https://health-products.canada.ca/dpd-bdpp/info?lang=eng&amp;code=21753","01931598")</f>
        <v/>
      </c>
    </row>
    <row r="19">
      <c r="A19" t="inlineStr">
        <is>
          <t>Cancelled Post Market</t>
        </is>
      </c>
      <c r="B19" t="inlineStr">
        <is>
          <t>https://health-products.canada.ca/dpd-bdpp/info?lang=eng&amp;code=21754</t>
        </is>
      </c>
      <c r="C19" t="inlineStr">
        <is>
          <t>01931601</t>
        </is>
      </c>
      <c r="D19" t="inlineStr">
        <is>
          <t>B. BRAUN MEDICAL INC</t>
        </is>
      </c>
      <c r="E19" t="inlineStr">
        <is>
          <t>0.15% POTASSIUM CHLORIDE IN 5% DEXTROSE AND 0.33% SODIUM CHLORIDE INJECTION USP</t>
        </is>
      </c>
      <c r="F19" t="inlineStr">
        <is>
          <t>Human</t>
        </is>
      </c>
      <c r="G19" t="inlineStr">
        <is>
          <t>No</t>
        </is>
      </c>
      <c r="H19" t="inlineStr">
        <is>
          <t>Ethical</t>
        </is>
      </c>
      <c r="I19" t="inlineStr">
        <is>
          <t>3</t>
        </is>
      </c>
      <c r="J19" t="inlineStr">
        <is>
          <t>DEXTROSE</t>
        </is>
      </c>
      <c r="K19" t="inlineStr">
        <is>
          <t>5 G / 100 ML</t>
        </is>
      </c>
      <c r="L19" t="inlineStr">
        <is>
          <t>2018-07-23</t>
        </is>
      </c>
      <c r="M19" t="inlineStr">
        <is>
          <t>1998-09-03</t>
        </is>
      </c>
      <c r="N19" t="inlineStr">
        <is>
          <t>824 Twelfth Avenue</t>
        </is>
      </c>
      <c r="O19" t="inlineStr">
        <is>
          <t>Bethlehem</t>
        </is>
      </c>
      <c r="P19" t="inlineStr">
        <is>
          <t>Pennsylvania</t>
        </is>
      </c>
      <c r="Q19" t="inlineStr">
        <is>
          <t>United States</t>
        </is>
      </c>
      <c r="R19" t="inlineStr">
        <is>
          <t>18018</t>
        </is>
      </c>
      <c r="S19" t="inlineStr">
        <is>
          <t>3</t>
        </is>
      </c>
      <c r="T19" t="inlineStr">
        <is>
          <t>No</t>
        </is>
      </c>
      <c r="U19" t="inlineStr">
        <is>
          <t>40:12.00 
 , 
 40:20.00</t>
        </is>
      </c>
      <c r="V19" t="inlineStr">
        <is>
          <t>B05BB02 ELECTROLYTES WITH CARBOHYDRATES</t>
        </is>
      </c>
      <c r="W19" t="inlineStr">
        <is>
          <t>0300097022</t>
        </is>
      </c>
      <c r="X19" t="inlineStr"/>
      <c r="Y19" t="inlineStr"/>
      <c r="Z19" t="inlineStr">
        <is>
          <t>DEXTROSE : 5 G / 100 ML
POTASSIUM CHLORIDE : 150 MG / 100 ML
SODIUM CHLORIDE : 330 MG / 100 ML</t>
        </is>
      </c>
      <c r="AA19" t="inlineStr">
        <is>
          <t>Liquid</t>
        </is>
      </c>
      <c r="AB19" t="inlineStr">
        <is>
          <t>Intravenous</t>
        </is>
      </c>
      <c r="AC19">
        <f>HYPERLINK("https://health-products.canada.ca/dpd-bdpp/info?lang=eng&amp;code=21754","01931601")</f>
        <v/>
      </c>
    </row>
    <row r="20">
      <c r="A20" t="inlineStr">
        <is>
          <t>Cancelled Post Market</t>
        </is>
      </c>
      <c r="B20" t="inlineStr">
        <is>
          <t>https://health-products.canada.ca/dpd-bdpp/info?lang=eng&amp;code=18991</t>
        </is>
      </c>
      <c r="C20" t="inlineStr">
        <is>
          <t>01931547</t>
        </is>
      </c>
      <c r="D20" t="inlineStr">
        <is>
          <t>B. BRAUN MEDICAL INC</t>
        </is>
      </c>
      <c r="E20" t="inlineStr">
        <is>
          <t>0.15% POTASSIUM CHLORIDE IN 5% DEXTROSE AND 0.45% SODIUM CHLORIDE INJECTION</t>
        </is>
      </c>
      <c r="F20" t="inlineStr">
        <is>
          <t>Human</t>
        </is>
      </c>
      <c r="G20" t="inlineStr">
        <is>
          <t>No</t>
        </is>
      </c>
      <c r="H20" t="inlineStr">
        <is>
          <t>Ethical</t>
        </is>
      </c>
      <c r="I20" t="inlineStr">
        <is>
          <t>3</t>
        </is>
      </c>
      <c r="J20" t="inlineStr">
        <is>
          <t>DEXTROSE</t>
        </is>
      </c>
      <c r="K20" t="inlineStr">
        <is>
          <t>5 G / 100 ML</t>
        </is>
      </c>
      <c r="L20" t="inlineStr">
        <is>
          <t>2023-03-19</t>
        </is>
      </c>
      <c r="M20" t="inlineStr">
        <is>
          <t>1995-12-31</t>
        </is>
      </c>
      <c r="N20" t="inlineStr">
        <is>
          <t>824 Twelfth Avenue</t>
        </is>
      </c>
      <c r="O20" t="inlineStr">
        <is>
          <t>Bethlehem</t>
        </is>
      </c>
      <c r="P20" t="inlineStr">
        <is>
          <t>Pennsylvania</t>
        </is>
      </c>
      <c r="Q20" t="inlineStr">
        <is>
          <t>United States</t>
        </is>
      </c>
      <c r="R20" t="inlineStr">
        <is>
          <t>18018</t>
        </is>
      </c>
      <c r="S20" t="inlineStr">
        <is>
          <t>3</t>
        </is>
      </c>
      <c r="T20" t="inlineStr">
        <is>
          <t>No</t>
        </is>
      </c>
      <c r="U20" t="inlineStr">
        <is>
          <t>40:20.00 
 , 
 40:12.00</t>
        </is>
      </c>
      <c r="V20" t="inlineStr">
        <is>
          <t>B05BB02 ELECTROLYTES WITH CARBOHYDRATES</t>
        </is>
      </c>
      <c r="W20" t="inlineStr">
        <is>
          <t>0300097005</t>
        </is>
      </c>
      <c r="X20" t="inlineStr"/>
      <c r="Y20" t="inlineStr"/>
      <c r="Z20" t="inlineStr">
        <is>
          <t>DEXTROSE : 5 G / 100 ML
POTASSIUM CHLORIDE : 150 MG / 100 ML
SODIUM CHLORIDE : 450 MG / 100 ML</t>
        </is>
      </c>
      <c r="AA20" t="inlineStr">
        <is>
          <t>Solution</t>
        </is>
      </c>
      <c r="AB20" t="inlineStr">
        <is>
          <t>Intravenous</t>
        </is>
      </c>
      <c r="AC20">
        <f>HYPERLINK("https://health-products.canada.ca/dpd-bdpp/info?lang=eng&amp;code=18991","01931547")</f>
        <v/>
      </c>
    </row>
    <row r="21">
      <c r="A21" t="inlineStr">
        <is>
          <t>Cancelled Post Market</t>
        </is>
      </c>
      <c r="B21" t="inlineStr">
        <is>
          <t>https://health-products.canada.ca/dpd-bdpp/info?lang=eng&amp;code=21755</t>
        </is>
      </c>
      <c r="C21" t="inlineStr">
        <is>
          <t>01931644</t>
        </is>
      </c>
      <c r="D21" t="inlineStr">
        <is>
          <t>B. BRAUN MEDICAL INC</t>
        </is>
      </c>
      <c r="E21" t="inlineStr">
        <is>
          <t>0.15% POTASSIUM CHLORIDE IN 5% DEXTROSE AND 0.9% SODIUM CHLORIDE INJECTION</t>
        </is>
      </c>
      <c r="F21" t="inlineStr">
        <is>
          <t>Human</t>
        </is>
      </c>
      <c r="G21" t="inlineStr">
        <is>
          <t>No</t>
        </is>
      </c>
      <c r="H21" t="inlineStr">
        <is>
          <t>Ethical</t>
        </is>
      </c>
      <c r="I21" t="inlineStr">
        <is>
          <t>3</t>
        </is>
      </c>
      <c r="J21" t="inlineStr">
        <is>
          <t>DEXTROSE</t>
        </is>
      </c>
      <c r="K21" t="inlineStr">
        <is>
          <t>5 G / 100 ML</t>
        </is>
      </c>
      <c r="L21" t="inlineStr">
        <is>
          <t>2023-03-19</t>
        </is>
      </c>
      <c r="M21" t="inlineStr">
        <is>
          <t>1996-09-10</t>
        </is>
      </c>
      <c r="N21" t="inlineStr">
        <is>
          <t>824 Twelfth Avenue</t>
        </is>
      </c>
      <c r="O21" t="inlineStr">
        <is>
          <t>Bethlehem</t>
        </is>
      </c>
      <c r="P21" t="inlineStr">
        <is>
          <t>Pennsylvania</t>
        </is>
      </c>
      <c r="Q21" t="inlineStr">
        <is>
          <t>United States</t>
        </is>
      </c>
      <c r="R21" t="inlineStr">
        <is>
          <t>18018</t>
        </is>
      </c>
      <c r="S21" t="inlineStr">
        <is>
          <t>3</t>
        </is>
      </c>
      <c r="T21" t="inlineStr">
        <is>
          <t>No</t>
        </is>
      </c>
      <c r="U21" t="inlineStr">
        <is>
          <t>40:12.00 
 , 
 40:20.00</t>
        </is>
      </c>
      <c r="V21" t="inlineStr">
        <is>
          <t>B05BB02 ELECTROLYTES WITH CARBOHYDRATES</t>
        </is>
      </c>
      <c r="W21" t="inlineStr">
        <is>
          <t>0300097006</t>
        </is>
      </c>
      <c r="X21" t="inlineStr"/>
      <c r="Y21" t="inlineStr"/>
      <c r="Z21" t="inlineStr">
        <is>
          <t>DEXTROSE : 5 G / 100 ML
POTASSIUM CHLORIDE : 150 MG / 100 ML
SODIUM CHLORIDE : 900 MG / 100 ML</t>
        </is>
      </c>
      <c r="AA21" t="inlineStr">
        <is>
          <t>Solution</t>
        </is>
      </c>
      <c r="AB21" t="inlineStr">
        <is>
          <t>Intravenous</t>
        </is>
      </c>
      <c r="AC21">
        <f>HYPERLINK("https://health-products.canada.ca/dpd-bdpp/info?lang=eng&amp;code=21755","01931644")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2025-09-24T06:14:20Z</dcterms:created>
  <dcterms:modified xsi:type="dcterms:W3CDTF">2025-09-24T06:14:20Z</dcterms:modified>
</cp:coreProperties>
</file>